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Finnish Startup Community – Suomen startup-yhteisö\Blogit ja analyysit\Youssef\Startup Study\"/>
    </mc:Choice>
  </mc:AlternateContent>
  <xr:revisionPtr revIDLastSave="0" documentId="13_ncr:1_{6C57690E-BE1B-41A5-9554-0AAE4F44BFAC}" xr6:coauthVersionLast="47" xr6:coauthVersionMax="47" xr10:uidLastSave="{00000000-0000-0000-0000-000000000000}"/>
  <bookViews>
    <workbookView xWindow="-108" yWindow="-108" windowWidth="23256" windowHeight="12456" activeTab="1" xr2:uid="{903C90B8-349E-41A9-911C-60DECEBD3257}"/>
  </bookViews>
  <sheets>
    <sheet name="Headline_figures" sheetId="1" r:id="rId1"/>
    <sheet name="data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E20" i="2"/>
  <c r="F20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" i="2"/>
  <c r="Q12" i="1"/>
  <c r="B20" i="1" a="1"/>
  <c r="B20" i="1" s="1"/>
  <c r="B21" i="1" s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Q23" i="1" s="1"/>
  <c r="R19" i="1"/>
  <c r="R23" i="1" s="1"/>
  <c r="S19" i="1"/>
  <c r="S23" i="1" s="1"/>
  <c r="T19" i="1"/>
  <c r="T23" i="1" s="1"/>
  <c r="B19" i="1"/>
  <c r="A15" i="1" a="1"/>
  <c r="A15" i="1" s="1"/>
  <c r="C8" i="1"/>
  <c r="D8" i="1"/>
  <c r="E8" i="1"/>
  <c r="F8" i="1"/>
  <c r="G8" i="1"/>
  <c r="H8" i="1"/>
  <c r="I8" i="1"/>
  <c r="J8" i="1"/>
  <c r="K8" i="1"/>
  <c r="L8" i="1"/>
  <c r="M8" i="1"/>
  <c r="N8" i="1"/>
  <c r="O8" i="1"/>
  <c r="O12" i="1" s="1"/>
  <c r="P8" i="1"/>
  <c r="P12" i="1" s="1"/>
  <c r="Q8" i="1"/>
  <c r="R8" i="1"/>
  <c r="R12" i="1" s="1"/>
  <c r="S8" i="1"/>
  <c r="S12" i="1" s="1"/>
  <c r="T8" i="1"/>
  <c r="T12" i="1" s="1"/>
  <c r="B8" i="1"/>
  <c r="B9" i="1" a="1"/>
  <c r="B9" i="1" s="1"/>
  <c r="B10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N23" i="1" l="1"/>
  <c r="J23" i="1"/>
  <c r="I23" i="1"/>
  <c r="H23" i="1"/>
  <c r="G23" i="1"/>
  <c r="M23" i="1"/>
  <c r="L23" i="1"/>
  <c r="K23" i="1"/>
  <c r="E23" i="1"/>
  <c r="F23" i="1"/>
  <c r="R21" i="1"/>
  <c r="Q21" i="1"/>
  <c r="D23" i="1"/>
  <c r="P21" i="1"/>
  <c r="C23" i="1"/>
  <c r="O21" i="1"/>
  <c r="B23" i="1"/>
  <c r="P23" i="1"/>
  <c r="O23" i="1"/>
  <c r="N21" i="1"/>
  <c r="K21" i="1"/>
  <c r="I21" i="1"/>
  <c r="H21" i="1"/>
  <c r="M21" i="1"/>
  <c r="L21" i="1"/>
  <c r="G21" i="1"/>
  <c r="F21" i="1"/>
  <c r="E21" i="1"/>
  <c r="J21" i="1"/>
  <c r="T21" i="1"/>
  <c r="D21" i="1"/>
  <c r="S21" i="1"/>
  <c r="C21" i="1"/>
  <c r="N10" i="1"/>
  <c r="K12" i="1"/>
  <c r="D12" i="1"/>
  <c r="J12" i="1"/>
  <c r="H12" i="1"/>
  <c r="J10" i="1"/>
  <c r="G12" i="1"/>
  <c r="I10" i="1"/>
  <c r="H10" i="1"/>
  <c r="G10" i="1"/>
  <c r="C12" i="1"/>
  <c r="T10" i="1"/>
  <c r="R10" i="1"/>
  <c r="B12" i="1"/>
  <c r="F10" i="1"/>
  <c r="C10" i="1"/>
  <c r="Q10" i="1"/>
  <c r="N12" i="1"/>
  <c r="O10" i="1"/>
  <c r="L12" i="1"/>
  <c r="M10" i="1"/>
  <c r="L10" i="1"/>
  <c r="I12" i="1"/>
  <c r="K10" i="1"/>
  <c r="F12" i="1"/>
  <c r="E12" i="1"/>
  <c r="E10" i="1"/>
  <c r="D10" i="1"/>
  <c r="S10" i="1"/>
  <c r="P10" i="1"/>
  <c r="M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<sst xmlns="http://schemas.openxmlformats.org/spreadsheetml/2006/main" count="37" uniqueCount="20">
  <si>
    <t>Number of employees</t>
  </si>
  <si>
    <t>Scaleups</t>
  </si>
  <si>
    <t>Tesi</t>
  </si>
  <si>
    <t>Tilastokeskus</t>
  </si>
  <si>
    <t>Number of companies</t>
  </si>
  <si>
    <t>Tesi Total</t>
  </si>
  <si>
    <t>Early-stage startups</t>
  </si>
  <si>
    <t>Other startup-based firms</t>
  </si>
  <si>
    <t>Tilastokeskus 2005-2017 + Tesi 2018-2023</t>
  </si>
  <si>
    <t>Tilastokeskus 2005 - 2019 + Tesi 2020-2023</t>
  </si>
  <si>
    <t>Revenue</t>
  </si>
  <si>
    <t>vuosi</t>
  </si>
  <si>
    <t>Liikevaihto</t>
  </si>
  <si>
    <t>Työlliset</t>
  </si>
  <si>
    <t>Yritykset</t>
  </si>
  <si>
    <t>Työlliset_suomessa</t>
  </si>
  <si>
    <t>TyölllisOsuuSuomi</t>
  </si>
  <si>
    <t>Työlliset_Suomi_ennuste</t>
  </si>
  <si>
    <t>Ei</t>
  </si>
  <si>
    <t>Kyllä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</si>
</sst>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3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rH\Downloads\nFirmsSanity.xlsx" TargetMode="External"/><Relationship Id="rId1" Type="http://schemas.openxmlformats.org/officeDocument/2006/relationships/externalLinkPath" Target="file:///C:\Users\AmirH\Downloads\nFirmsSan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rH\Downloads\EmployeesSanity.xlsx" TargetMode="External"/><Relationship Id="rId1" Type="http://schemas.openxmlformats.org/officeDocument/2006/relationships/externalLinkPath" Target="file:///C:\Users\AmirH\Downloads\EmployeesSan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I2">
            <v>87</v>
          </cell>
        </row>
        <row r="3">
          <cell r="I3">
            <v>97</v>
          </cell>
        </row>
        <row r="4">
          <cell r="I4">
            <v>110</v>
          </cell>
        </row>
        <row r="5">
          <cell r="I5">
            <v>122</v>
          </cell>
        </row>
        <row r="6">
          <cell r="I6">
            <v>134</v>
          </cell>
        </row>
        <row r="7">
          <cell r="I7">
            <v>192</v>
          </cell>
        </row>
        <row r="8">
          <cell r="I8">
            <v>308</v>
          </cell>
        </row>
        <row r="9">
          <cell r="I9">
            <v>433</v>
          </cell>
        </row>
        <row r="10">
          <cell r="I10">
            <v>668</v>
          </cell>
        </row>
        <row r="11">
          <cell r="I11">
            <v>864</v>
          </cell>
        </row>
        <row r="12">
          <cell r="I12">
            <v>1109</v>
          </cell>
        </row>
        <row r="13">
          <cell r="I13">
            <v>1422</v>
          </cell>
        </row>
        <row r="14">
          <cell r="I14">
            <v>1709</v>
          </cell>
        </row>
        <row r="15">
          <cell r="I15">
            <v>1895</v>
          </cell>
        </row>
        <row r="16">
          <cell r="I16">
            <v>2161</v>
          </cell>
        </row>
        <row r="17">
          <cell r="I17">
            <v>2445</v>
          </cell>
        </row>
        <row r="18">
          <cell r="I18">
            <v>2696</v>
          </cell>
        </row>
        <row r="19">
          <cell r="I19">
            <v>4011</v>
          </cell>
        </row>
        <row r="20">
          <cell r="I20">
            <v>4152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I2">
            <v>3367</v>
          </cell>
        </row>
        <row r="3">
          <cell r="I3">
            <v>3604</v>
          </cell>
        </row>
        <row r="4">
          <cell r="I4">
            <v>3852</v>
          </cell>
        </row>
        <row r="5">
          <cell r="I5">
            <v>4248</v>
          </cell>
        </row>
        <row r="6">
          <cell r="I6">
            <v>4480</v>
          </cell>
        </row>
        <row r="7">
          <cell r="I7">
            <v>4903</v>
          </cell>
        </row>
        <row r="8">
          <cell r="I8">
            <v>6134</v>
          </cell>
        </row>
        <row r="9">
          <cell r="I9">
            <v>7535</v>
          </cell>
        </row>
        <row r="10">
          <cell r="I10">
            <v>9289</v>
          </cell>
        </row>
        <row r="11">
          <cell r="I11">
            <v>11129</v>
          </cell>
        </row>
        <row r="12">
          <cell r="I12">
            <v>13107</v>
          </cell>
        </row>
        <row r="13">
          <cell r="I13">
            <v>16112</v>
          </cell>
        </row>
        <row r="14">
          <cell r="I14">
            <v>20323</v>
          </cell>
        </row>
        <row r="15">
          <cell r="I15">
            <v>25428</v>
          </cell>
        </row>
        <row r="16">
          <cell r="I16">
            <v>30534</v>
          </cell>
        </row>
        <row r="17">
          <cell r="I17">
            <v>33228</v>
          </cell>
        </row>
        <row r="18">
          <cell r="I18">
            <v>34863</v>
          </cell>
        </row>
        <row r="19">
          <cell r="I19">
            <v>43259</v>
          </cell>
        </row>
        <row r="20">
          <cell r="I20">
            <v>45658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2042-D5FD-4571-AC00-7F8F9033F5EA}">
  <dimension ref="A1:T26"/>
  <sheetViews>
    <sheetView showGridLines="0" topLeftCell="A7" workbookViewId="0">
      <pane xSplit="1" topLeftCell="B1" activePane="topRight" state="frozen"/>
      <selection pane="topRight" activeCell="T12" sqref="B12:T12"/>
    </sheetView>
  </sheetViews>
  <sheetFormatPr defaultRowHeight="14.4" x14ac:dyDescent="0.3"/>
  <cols>
    <col min="1" max="1" width="21.88671875" style="3" bestFit="1" customWidth="1"/>
    <col min="2" max="4" width="10.6640625" style="3" bestFit="1" customWidth="1"/>
    <col min="5" max="17" width="12" style="3" bestFit="1" customWidth="1"/>
    <col min="18" max="20" width="13.109375" style="3" bestFit="1" customWidth="1"/>
    <col min="21" max="16384" width="8.88671875" style="3"/>
  </cols>
  <sheetData>
    <row r="1" spans="1:20" x14ac:dyDescent="0.3">
      <c r="B1" s="4">
        <v>2005</v>
      </c>
      <c r="C1" s="4">
        <f>+B1+1</f>
        <v>2006</v>
      </c>
      <c r="D1" s="4">
        <f t="shared" ref="D1:T1" si="0">+C1+1</f>
        <v>2007</v>
      </c>
      <c r="E1" s="4">
        <f t="shared" si="0"/>
        <v>2008</v>
      </c>
      <c r="F1" s="4">
        <f t="shared" si="0"/>
        <v>2009</v>
      </c>
      <c r="G1" s="4">
        <f t="shared" si="0"/>
        <v>2010</v>
      </c>
      <c r="H1" s="4">
        <f t="shared" si="0"/>
        <v>2011</v>
      </c>
      <c r="I1" s="4">
        <f t="shared" si="0"/>
        <v>2012</v>
      </c>
      <c r="J1" s="4">
        <f t="shared" si="0"/>
        <v>2013</v>
      </c>
      <c r="K1" s="4">
        <f t="shared" si="0"/>
        <v>2014</v>
      </c>
      <c r="L1" s="4">
        <f t="shared" si="0"/>
        <v>2015</v>
      </c>
      <c r="M1" s="4">
        <f t="shared" si="0"/>
        <v>2016</v>
      </c>
      <c r="N1" s="4">
        <f t="shared" si="0"/>
        <v>2017</v>
      </c>
      <c r="O1" s="4">
        <f t="shared" si="0"/>
        <v>2018</v>
      </c>
      <c r="P1" s="4">
        <f t="shared" si="0"/>
        <v>2019</v>
      </c>
      <c r="Q1" s="4">
        <f t="shared" si="0"/>
        <v>2020</v>
      </c>
      <c r="R1" s="4">
        <f t="shared" si="0"/>
        <v>2021</v>
      </c>
      <c r="S1" s="4">
        <f t="shared" si="0"/>
        <v>2022</v>
      </c>
      <c r="T1" s="4">
        <f t="shared" si="0"/>
        <v>2023</v>
      </c>
    </row>
    <row r="2" spans="1:20" ht="19.8" x14ac:dyDescent="0.3">
      <c r="A2" s="18" t="s">
        <v>4</v>
      </c>
    </row>
    <row r="4" spans="1:20" ht="18" x14ac:dyDescent="0.3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3">
      <c r="A5" s="19" t="s">
        <v>6</v>
      </c>
      <c r="B5" s="6"/>
      <c r="C5" s="6"/>
      <c r="D5" s="6"/>
      <c r="E5" s="6"/>
      <c r="F5" s="6"/>
      <c r="G5" s="6">
        <v>136</v>
      </c>
      <c r="H5" s="6">
        <v>283</v>
      </c>
      <c r="I5" s="6">
        <v>489</v>
      </c>
      <c r="J5" s="6">
        <v>773</v>
      </c>
      <c r="K5" s="6">
        <v>1005</v>
      </c>
      <c r="L5" s="6">
        <v>1288</v>
      </c>
      <c r="M5" s="6">
        <v>1570</v>
      </c>
      <c r="N5" s="6">
        <v>1764</v>
      </c>
      <c r="O5" s="6">
        <v>1909</v>
      </c>
      <c r="P5" s="6">
        <v>2110</v>
      </c>
      <c r="Q5" s="6">
        <v>2379</v>
      </c>
      <c r="R5" s="6">
        <v>2501</v>
      </c>
      <c r="S5" s="6">
        <v>2402</v>
      </c>
      <c r="T5" s="6">
        <v>2158</v>
      </c>
    </row>
    <row r="6" spans="1:20" x14ac:dyDescent="0.3">
      <c r="A6" s="19" t="s">
        <v>1</v>
      </c>
      <c r="B6" s="6"/>
      <c r="C6" s="6"/>
      <c r="D6" s="6"/>
      <c r="E6" s="6"/>
      <c r="F6" s="6"/>
      <c r="G6" s="6">
        <v>0</v>
      </c>
      <c r="H6" s="6">
        <v>0</v>
      </c>
      <c r="I6" s="6">
        <v>2</v>
      </c>
      <c r="J6" s="6">
        <v>3</v>
      </c>
      <c r="K6" s="6">
        <v>2</v>
      </c>
      <c r="L6" s="6">
        <v>6</v>
      </c>
      <c r="M6" s="6">
        <v>7</v>
      </c>
      <c r="N6" s="6">
        <v>11</v>
      </c>
      <c r="O6" s="6">
        <v>19</v>
      </c>
      <c r="P6" s="6">
        <v>25</v>
      </c>
      <c r="Q6" s="6">
        <v>24</v>
      </c>
      <c r="R6" s="6">
        <v>34</v>
      </c>
      <c r="S6" s="6">
        <v>52</v>
      </c>
      <c r="T6" s="6">
        <v>59</v>
      </c>
    </row>
    <row r="7" spans="1:20" x14ac:dyDescent="0.3">
      <c r="A7" s="20" t="s">
        <v>7</v>
      </c>
      <c r="B7" s="4">
        <v>186</v>
      </c>
      <c r="C7" s="4">
        <v>186</v>
      </c>
      <c r="D7" s="4">
        <v>192</v>
      </c>
      <c r="E7" s="4">
        <v>202</v>
      </c>
      <c r="F7" s="4">
        <v>210</v>
      </c>
      <c r="G7" s="4">
        <v>188</v>
      </c>
      <c r="H7" s="4">
        <v>188</v>
      </c>
      <c r="I7" s="4">
        <v>196</v>
      </c>
      <c r="J7" s="4">
        <v>209</v>
      </c>
      <c r="K7" s="4">
        <v>255</v>
      </c>
      <c r="L7" s="4">
        <v>321</v>
      </c>
      <c r="M7" s="4">
        <v>403</v>
      </c>
      <c r="N7" s="4">
        <v>549</v>
      </c>
      <c r="O7" s="4">
        <v>711</v>
      </c>
      <c r="P7" s="4">
        <v>892</v>
      </c>
      <c r="Q7" s="4">
        <v>1161</v>
      </c>
      <c r="R7" s="4">
        <v>1393</v>
      </c>
      <c r="S7" s="4">
        <v>1622</v>
      </c>
      <c r="T7" s="4">
        <v>2010</v>
      </c>
    </row>
    <row r="8" spans="1:20" x14ac:dyDescent="0.3">
      <c r="A8" s="3" t="s">
        <v>5</v>
      </c>
      <c r="B8" s="6">
        <f>+SUM(B5:B7)</f>
        <v>186</v>
      </c>
      <c r="C8" s="6">
        <f t="shared" ref="C8:T8" si="1">+SUM(C5:C7)</f>
        <v>186</v>
      </c>
      <c r="D8" s="6">
        <f t="shared" si="1"/>
        <v>192</v>
      </c>
      <c r="E8" s="6">
        <f t="shared" si="1"/>
        <v>202</v>
      </c>
      <c r="F8" s="6">
        <f t="shared" si="1"/>
        <v>210</v>
      </c>
      <c r="G8" s="6">
        <f t="shared" si="1"/>
        <v>324</v>
      </c>
      <c r="H8" s="6">
        <f t="shared" si="1"/>
        <v>471</v>
      </c>
      <c r="I8" s="6">
        <f t="shared" si="1"/>
        <v>687</v>
      </c>
      <c r="J8" s="6">
        <f t="shared" si="1"/>
        <v>985</v>
      </c>
      <c r="K8" s="6">
        <f t="shared" si="1"/>
        <v>1262</v>
      </c>
      <c r="L8" s="6">
        <f t="shared" si="1"/>
        <v>1615</v>
      </c>
      <c r="M8" s="6">
        <f t="shared" si="1"/>
        <v>1980</v>
      </c>
      <c r="N8" s="6">
        <f t="shared" si="1"/>
        <v>2324</v>
      </c>
      <c r="O8" s="7">
        <f t="shared" si="1"/>
        <v>2639</v>
      </c>
      <c r="P8" s="7">
        <f t="shared" si="1"/>
        <v>3027</v>
      </c>
      <c r="Q8" s="7">
        <f t="shared" si="1"/>
        <v>3564</v>
      </c>
      <c r="R8" s="7">
        <f t="shared" si="1"/>
        <v>3928</v>
      </c>
      <c r="S8" s="7">
        <f t="shared" si="1"/>
        <v>4076</v>
      </c>
      <c r="T8" s="7">
        <f t="shared" si="1"/>
        <v>4227</v>
      </c>
    </row>
    <row r="9" spans="1:20" ht="18" x14ac:dyDescent="0.3">
      <c r="A9" s="5" t="s">
        <v>3</v>
      </c>
      <c r="B9" s="7" cm="1">
        <f t="array" ref="B9:T9">+TRANSPOSE([1]Sheet1!$I$2:$I$20)</f>
        <v>87</v>
      </c>
      <c r="C9" s="7">
        <v>97</v>
      </c>
      <c r="D9" s="7">
        <v>110</v>
      </c>
      <c r="E9" s="7">
        <v>122</v>
      </c>
      <c r="F9" s="7">
        <v>134</v>
      </c>
      <c r="G9" s="7">
        <v>192</v>
      </c>
      <c r="H9" s="7">
        <v>308</v>
      </c>
      <c r="I9" s="7">
        <v>433</v>
      </c>
      <c r="J9" s="7">
        <v>668</v>
      </c>
      <c r="K9" s="7">
        <v>864</v>
      </c>
      <c r="L9" s="7">
        <v>1109</v>
      </c>
      <c r="M9" s="7">
        <v>1422</v>
      </c>
      <c r="N9" s="7">
        <v>1709</v>
      </c>
      <c r="O9" s="6">
        <v>1895</v>
      </c>
      <c r="P9" s="6">
        <v>2161</v>
      </c>
      <c r="Q9" s="6">
        <v>2445</v>
      </c>
      <c r="R9" s="6">
        <v>2696</v>
      </c>
      <c r="S9" s="6">
        <v>4011</v>
      </c>
      <c r="T9" s="6">
        <v>4152</v>
      </c>
    </row>
    <row r="10" spans="1:20" x14ac:dyDescent="0.3">
      <c r="B10" s="8">
        <f>+B9/B8</f>
        <v>0.46774193548387094</v>
      </c>
      <c r="C10" s="8">
        <f t="shared" ref="C10:T10" si="2">+C9/C8</f>
        <v>0.521505376344086</v>
      </c>
      <c r="D10" s="8">
        <f t="shared" si="2"/>
        <v>0.57291666666666663</v>
      </c>
      <c r="E10" s="8">
        <f t="shared" si="2"/>
        <v>0.60396039603960394</v>
      </c>
      <c r="F10" s="8">
        <f t="shared" si="2"/>
        <v>0.63809523809523805</v>
      </c>
      <c r="G10" s="8">
        <f t="shared" si="2"/>
        <v>0.59259259259259256</v>
      </c>
      <c r="H10" s="8">
        <f t="shared" si="2"/>
        <v>0.65392781316348192</v>
      </c>
      <c r="I10" s="8">
        <f t="shared" si="2"/>
        <v>0.63027656477438132</v>
      </c>
      <c r="J10" s="8">
        <f t="shared" si="2"/>
        <v>0.67817258883248732</v>
      </c>
      <c r="K10" s="8">
        <f t="shared" si="2"/>
        <v>0.68462757527733753</v>
      </c>
      <c r="L10" s="8">
        <f t="shared" si="2"/>
        <v>0.68668730650154797</v>
      </c>
      <c r="M10" s="8">
        <f t="shared" si="2"/>
        <v>0.71818181818181814</v>
      </c>
      <c r="N10" s="8">
        <f t="shared" si="2"/>
        <v>0.73537005163511182</v>
      </c>
      <c r="O10" s="8">
        <f t="shared" si="2"/>
        <v>0.71807502841985604</v>
      </c>
      <c r="P10" s="8">
        <f t="shared" si="2"/>
        <v>0.7139081598942848</v>
      </c>
      <c r="Q10" s="8">
        <f t="shared" si="2"/>
        <v>0.68602693602693599</v>
      </c>
      <c r="R10" s="8">
        <f t="shared" si="2"/>
        <v>0.68635437881873729</v>
      </c>
      <c r="S10" s="8">
        <f t="shared" si="2"/>
        <v>0.98405299313052008</v>
      </c>
      <c r="T10" s="8">
        <f t="shared" si="2"/>
        <v>0.98225691980127749</v>
      </c>
    </row>
    <row r="12" spans="1:20" s="14" customFormat="1" ht="28.8" x14ac:dyDescent="0.3">
      <c r="A12" s="12" t="s">
        <v>8</v>
      </c>
      <c r="B12" s="15">
        <f>+B9</f>
        <v>87</v>
      </c>
      <c r="C12" s="15">
        <f t="shared" ref="C12:N12" si="3">+C9</f>
        <v>97</v>
      </c>
      <c r="D12" s="15">
        <f t="shared" si="3"/>
        <v>110</v>
      </c>
      <c r="E12" s="15">
        <f t="shared" si="3"/>
        <v>122</v>
      </c>
      <c r="F12" s="15">
        <f t="shared" si="3"/>
        <v>134</v>
      </c>
      <c r="G12" s="15">
        <f t="shared" si="3"/>
        <v>192</v>
      </c>
      <c r="H12" s="15">
        <f t="shared" si="3"/>
        <v>308</v>
      </c>
      <c r="I12" s="15">
        <f t="shared" si="3"/>
        <v>433</v>
      </c>
      <c r="J12" s="15">
        <f t="shared" si="3"/>
        <v>668</v>
      </c>
      <c r="K12" s="15">
        <f t="shared" si="3"/>
        <v>864</v>
      </c>
      <c r="L12" s="15">
        <f t="shared" si="3"/>
        <v>1109</v>
      </c>
      <c r="M12" s="15">
        <f t="shared" si="3"/>
        <v>1422</v>
      </c>
      <c r="N12" s="15">
        <f t="shared" si="3"/>
        <v>1709</v>
      </c>
      <c r="O12" s="15">
        <f>+O8</f>
        <v>2639</v>
      </c>
      <c r="P12" s="15">
        <f t="shared" ref="P12:T12" si="4">+P8</f>
        <v>3027</v>
      </c>
      <c r="Q12" s="15">
        <f>+Q8</f>
        <v>3564</v>
      </c>
      <c r="R12" s="15">
        <f t="shared" si="4"/>
        <v>3928</v>
      </c>
      <c r="S12" s="15">
        <f t="shared" si="4"/>
        <v>4076</v>
      </c>
      <c r="T12" s="15">
        <f t="shared" si="4"/>
        <v>4227</v>
      </c>
    </row>
    <row r="13" spans="1:20" x14ac:dyDescent="0.3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39.6" x14ac:dyDescent="0.3">
      <c r="A14" s="17" t="s">
        <v>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8" x14ac:dyDescent="0.3">
      <c r="A15" s="5" t="str" cm="1">
        <f t="array" ref="A15:A20">+A4:A9</f>
        <v>Tesi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3">
      <c r="A16" s="19" t="str">
        <v>Early-stage startups</v>
      </c>
      <c r="B16" s="6"/>
      <c r="C16" s="6"/>
      <c r="D16" s="6"/>
      <c r="E16" s="6"/>
      <c r="F16" s="6"/>
      <c r="G16" s="6">
        <v>72</v>
      </c>
      <c r="H16" s="6">
        <v>543</v>
      </c>
      <c r="I16" s="6">
        <v>980</v>
      </c>
      <c r="J16" s="6">
        <v>1564</v>
      </c>
      <c r="K16" s="6">
        <v>2419</v>
      </c>
      <c r="L16" s="6">
        <v>3239</v>
      </c>
      <c r="M16" s="6">
        <v>4424</v>
      </c>
      <c r="N16" s="6">
        <v>6611</v>
      </c>
      <c r="O16" s="6">
        <v>7417</v>
      </c>
      <c r="P16" s="6">
        <v>9337</v>
      </c>
      <c r="Q16" s="6">
        <v>10304</v>
      </c>
      <c r="R16" s="6">
        <v>10816</v>
      </c>
      <c r="S16" s="6">
        <v>10477</v>
      </c>
      <c r="T16" s="6">
        <v>10011</v>
      </c>
    </row>
    <row r="17" spans="1:20" x14ac:dyDescent="0.3">
      <c r="A17" s="19" t="str">
        <v>Scaleups</v>
      </c>
      <c r="B17" s="6"/>
      <c r="C17" s="6"/>
      <c r="D17" s="6"/>
      <c r="E17" s="6"/>
      <c r="F17" s="6"/>
      <c r="G17" s="6">
        <v>0</v>
      </c>
      <c r="H17" s="6">
        <v>0</v>
      </c>
      <c r="I17" s="6">
        <v>160</v>
      </c>
      <c r="J17" s="6">
        <v>120</v>
      </c>
      <c r="K17" s="6">
        <v>103</v>
      </c>
      <c r="L17" s="6">
        <v>278</v>
      </c>
      <c r="M17" s="6">
        <v>186</v>
      </c>
      <c r="N17" s="6">
        <v>671</v>
      </c>
      <c r="O17" s="6">
        <v>1723</v>
      </c>
      <c r="P17" s="6">
        <v>2947</v>
      </c>
      <c r="Q17" s="6">
        <v>4490</v>
      </c>
      <c r="R17" s="6">
        <v>5475</v>
      </c>
      <c r="S17" s="6">
        <v>8039</v>
      </c>
      <c r="T17" s="6">
        <v>9584</v>
      </c>
    </row>
    <row r="18" spans="1:20" x14ac:dyDescent="0.3">
      <c r="A18" s="20" t="str">
        <v>Other startup-based firms</v>
      </c>
      <c r="B18" s="10">
        <v>3367</v>
      </c>
      <c r="C18" s="10">
        <v>3604</v>
      </c>
      <c r="D18" s="10">
        <v>3852</v>
      </c>
      <c r="E18" s="10">
        <v>4248</v>
      </c>
      <c r="F18" s="10">
        <v>4480</v>
      </c>
      <c r="G18" s="10">
        <v>3589</v>
      </c>
      <c r="H18" s="10">
        <v>4518</v>
      </c>
      <c r="I18" s="10">
        <v>5315</v>
      </c>
      <c r="J18" s="10">
        <v>6191</v>
      </c>
      <c r="K18" s="10">
        <v>6803</v>
      </c>
      <c r="L18" s="10">
        <v>7196</v>
      </c>
      <c r="M18" s="10">
        <v>8203</v>
      </c>
      <c r="N18" s="10">
        <v>11196.4</v>
      </c>
      <c r="O18" s="10">
        <v>13931.408285292</v>
      </c>
      <c r="P18" s="10">
        <v>16904.251086479999</v>
      </c>
      <c r="Q18" s="10">
        <v>19664.588143199999</v>
      </c>
      <c r="R18" s="10">
        <v>25915.316474350002</v>
      </c>
      <c r="S18" s="10">
        <v>25733.741042499998</v>
      </c>
      <c r="T18" s="10">
        <v>27374.767645989999</v>
      </c>
    </row>
    <row r="19" spans="1:20" x14ac:dyDescent="0.3">
      <c r="A19" s="3" t="str">
        <v>Tesi Total</v>
      </c>
      <c r="B19" s="1">
        <f>+SUM(B16:B18)</f>
        <v>3367</v>
      </c>
      <c r="C19" s="1">
        <f t="shared" ref="C19:T19" si="5">+SUM(C16:C18)</f>
        <v>3604</v>
      </c>
      <c r="D19" s="1">
        <f t="shared" si="5"/>
        <v>3852</v>
      </c>
      <c r="E19" s="1">
        <f t="shared" si="5"/>
        <v>4248</v>
      </c>
      <c r="F19" s="1">
        <f t="shared" si="5"/>
        <v>4480</v>
      </c>
      <c r="G19" s="1">
        <f t="shared" si="5"/>
        <v>3661</v>
      </c>
      <c r="H19" s="1">
        <f t="shared" si="5"/>
        <v>5061</v>
      </c>
      <c r="I19" s="1">
        <f t="shared" si="5"/>
        <v>6455</v>
      </c>
      <c r="J19" s="1">
        <f t="shared" si="5"/>
        <v>7875</v>
      </c>
      <c r="K19" s="1">
        <f t="shared" si="5"/>
        <v>9325</v>
      </c>
      <c r="L19" s="1">
        <f t="shared" si="5"/>
        <v>10713</v>
      </c>
      <c r="M19" s="1">
        <f t="shared" si="5"/>
        <v>12813</v>
      </c>
      <c r="N19" s="1">
        <f t="shared" si="5"/>
        <v>18478.400000000001</v>
      </c>
      <c r="O19" s="11">
        <f t="shared" si="5"/>
        <v>23071.408285292</v>
      </c>
      <c r="P19" s="11">
        <f t="shared" si="5"/>
        <v>29188.251086479999</v>
      </c>
      <c r="Q19" s="11">
        <f t="shared" si="5"/>
        <v>34458.588143200002</v>
      </c>
      <c r="R19" s="11">
        <f t="shared" si="5"/>
        <v>42206.316474350002</v>
      </c>
      <c r="S19" s="11">
        <f t="shared" si="5"/>
        <v>44249.741042499998</v>
      </c>
      <c r="T19" s="11">
        <f t="shared" si="5"/>
        <v>46969.767645989996</v>
      </c>
    </row>
    <row r="20" spans="1:20" ht="18" x14ac:dyDescent="0.3">
      <c r="A20" s="5" t="str">
        <v>Tilastokeskus</v>
      </c>
      <c r="B20" s="11" cm="1">
        <f t="array" ref="B20:T20">+TRANSPOSE([2]Sheet1!$I$2:$I$20)</f>
        <v>3367</v>
      </c>
      <c r="C20" s="11">
        <v>3604</v>
      </c>
      <c r="D20" s="11">
        <v>3852</v>
      </c>
      <c r="E20" s="11">
        <v>4248</v>
      </c>
      <c r="F20" s="11">
        <v>4480</v>
      </c>
      <c r="G20" s="11">
        <v>4903</v>
      </c>
      <c r="H20" s="11">
        <v>6134</v>
      </c>
      <c r="I20" s="11">
        <v>7535</v>
      </c>
      <c r="J20" s="11">
        <v>9289</v>
      </c>
      <c r="K20" s="11">
        <v>11129</v>
      </c>
      <c r="L20" s="11">
        <v>13107</v>
      </c>
      <c r="M20" s="11">
        <v>16112</v>
      </c>
      <c r="N20" s="11">
        <v>20323</v>
      </c>
      <c r="O20" s="1">
        <v>25428</v>
      </c>
      <c r="P20" s="1">
        <v>30534</v>
      </c>
      <c r="Q20" s="1">
        <v>33228</v>
      </c>
      <c r="R20" s="1">
        <v>34863</v>
      </c>
      <c r="S20" s="1">
        <v>43259</v>
      </c>
      <c r="T20" s="1">
        <v>45658</v>
      </c>
    </row>
    <row r="21" spans="1:20" x14ac:dyDescent="0.3">
      <c r="B21" s="2">
        <f>+B20/B19</f>
        <v>1</v>
      </c>
      <c r="C21" s="2">
        <f t="shared" ref="C21:T21" si="6">+C20/C19</f>
        <v>1</v>
      </c>
      <c r="D21" s="2">
        <f t="shared" si="6"/>
        <v>1</v>
      </c>
      <c r="E21" s="2">
        <f t="shared" si="6"/>
        <v>1</v>
      </c>
      <c r="F21" s="2">
        <f t="shared" si="6"/>
        <v>1</v>
      </c>
      <c r="G21" s="2">
        <f t="shared" si="6"/>
        <v>1.3392515706091233</v>
      </c>
      <c r="H21" s="2">
        <f t="shared" si="6"/>
        <v>1.212013436079826</v>
      </c>
      <c r="I21" s="2">
        <f t="shared" si="6"/>
        <v>1.1673121611154145</v>
      </c>
      <c r="J21" s="2">
        <f t="shared" si="6"/>
        <v>1.1795555555555555</v>
      </c>
      <c r="K21" s="2">
        <f t="shared" si="6"/>
        <v>1.1934584450402144</v>
      </c>
      <c r="L21" s="2">
        <f t="shared" si="6"/>
        <v>1.2234668160179221</v>
      </c>
      <c r="M21" s="2">
        <f t="shared" si="6"/>
        <v>1.2574728791071568</v>
      </c>
      <c r="N21" s="2">
        <f t="shared" si="6"/>
        <v>1.0998246601437354</v>
      </c>
      <c r="O21" s="2">
        <f t="shared" si="6"/>
        <v>1.1021433839481019</v>
      </c>
      <c r="P21" s="2">
        <f t="shared" si="6"/>
        <v>1.0461058427081762</v>
      </c>
      <c r="Q21" s="2">
        <f t="shared" si="6"/>
        <v>0.96428791167862038</v>
      </c>
      <c r="R21" s="2">
        <f t="shared" si="6"/>
        <v>0.82601380343596797</v>
      </c>
      <c r="S21" s="2">
        <f t="shared" si="6"/>
        <v>0.97761024089274484</v>
      </c>
      <c r="T21" s="2">
        <f t="shared" si="6"/>
        <v>0.97207208568974079</v>
      </c>
    </row>
    <row r="22" spans="1:20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s="14" customFormat="1" ht="28.8" x14ac:dyDescent="0.3">
      <c r="A23" s="12" t="s">
        <v>9</v>
      </c>
      <c r="B23" s="13">
        <f>+B20</f>
        <v>3367</v>
      </c>
      <c r="C23" s="13">
        <f t="shared" ref="C23:P23" si="7">+C20</f>
        <v>3604</v>
      </c>
      <c r="D23" s="13">
        <f t="shared" si="7"/>
        <v>3852</v>
      </c>
      <c r="E23" s="13">
        <f t="shared" si="7"/>
        <v>4248</v>
      </c>
      <c r="F23" s="13">
        <f t="shared" si="7"/>
        <v>4480</v>
      </c>
      <c r="G23" s="13">
        <f t="shared" si="7"/>
        <v>4903</v>
      </c>
      <c r="H23" s="13">
        <f t="shared" si="7"/>
        <v>6134</v>
      </c>
      <c r="I23" s="13">
        <f t="shared" si="7"/>
        <v>7535</v>
      </c>
      <c r="J23" s="13">
        <f t="shared" si="7"/>
        <v>9289</v>
      </c>
      <c r="K23" s="13">
        <f t="shared" si="7"/>
        <v>11129</v>
      </c>
      <c r="L23" s="13">
        <f t="shared" si="7"/>
        <v>13107</v>
      </c>
      <c r="M23" s="13">
        <f t="shared" si="7"/>
        <v>16112</v>
      </c>
      <c r="N23" s="13">
        <f t="shared" si="7"/>
        <v>20323</v>
      </c>
      <c r="O23" s="13">
        <f t="shared" si="7"/>
        <v>25428</v>
      </c>
      <c r="P23" s="13">
        <f t="shared" si="7"/>
        <v>30534</v>
      </c>
      <c r="Q23" s="13">
        <f>+Q19</f>
        <v>34458.588143200002</v>
      </c>
      <c r="R23" s="13">
        <f t="shared" ref="R23:T23" si="8">+R19</f>
        <v>42206.316474350002</v>
      </c>
      <c r="S23" s="13">
        <f t="shared" si="8"/>
        <v>44249.741042499998</v>
      </c>
      <c r="T23" s="13">
        <f t="shared" si="8"/>
        <v>46969.767645989996</v>
      </c>
    </row>
    <row r="24" spans="1:20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6" spans="1:20" s="14" customFormat="1" x14ac:dyDescent="0.3">
      <c r="A26" s="14" t="s">
        <v>10</v>
      </c>
      <c r="B26" s="16">
        <v>523511111.73629761</v>
      </c>
      <c r="C26" s="16">
        <v>578353464.60342395</v>
      </c>
      <c r="D26" s="16">
        <v>890006661.4151001</v>
      </c>
      <c r="E26" s="16">
        <v>1038536548.614502</v>
      </c>
      <c r="F26" s="16">
        <v>1027461409.5687871</v>
      </c>
      <c r="G26" s="16">
        <v>1163693189.6209719</v>
      </c>
      <c r="H26" s="16">
        <v>1603610277.1759031</v>
      </c>
      <c r="I26" s="16">
        <v>1944423675.5371089</v>
      </c>
      <c r="J26" s="16">
        <v>2503393650.0549321</v>
      </c>
      <c r="K26" s="16">
        <v>3850693225.8605962</v>
      </c>
      <c r="L26" s="16">
        <v>4661241531.3720703</v>
      </c>
      <c r="M26" s="16">
        <v>5275712966.9189453</v>
      </c>
      <c r="N26" s="16">
        <v>7530173301.6967773</v>
      </c>
      <c r="O26" s="16">
        <v>8436098098.7548828</v>
      </c>
      <c r="P26" s="16">
        <v>8395582199.0966797</v>
      </c>
      <c r="Q26" s="16">
        <v>9031057357.7880859</v>
      </c>
      <c r="R26" s="16">
        <v>11029043197.63184</v>
      </c>
      <c r="S26" s="16">
        <v>11758157518.119999</v>
      </c>
      <c r="T26" s="16">
        <v>12517786235.849998</v>
      </c>
    </row>
  </sheetData>
  <conditionalFormatting sqref="B8:T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T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T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T22 B24:T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A2F9-E5F6-48C3-8F80-A5334A736354}">
  <dimension ref="A1:G20"/>
  <sheetViews>
    <sheetView tabSelected="1" workbookViewId="0">
      <selection activeCell="J2" sqref="J2:K23"/>
    </sheetView>
  </sheetViews>
  <sheetFormatPr defaultRowHeight="14.4" x14ac:dyDescent="0.3"/>
  <cols>
    <col min="2" max="2" width="15.5546875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>
        <v>2005</v>
      </c>
      <c r="B2">
        <v>523511111.73629761</v>
      </c>
      <c r="C2">
        <v>3367</v>
      </c>
      <c r="D2">
        <v>87</v>
      </c>
      <c r="E2">
        <v>1399</v>
      </c>
      <c r="F2">
        <f>E2/C2</f>
        <v>0.41550341550341552</v>
      </c>
      <c r="G2" t="s">
        <v>18</v>
      </c>
    </row>
    <row r="3" spans="1:7" x14ac:dyDescent="0.3">
      <c r="A3">
        <v>2006</v>
      </c>
      <c r="B3">
        <v>578353464.60342395</v>
      </c>
      <c r="C3">
        <v>3604</v>
      </c>
      <c r="D3">
        <v>97</v>
      </c>
      <c r="E3">
        <v>1848</v>
      </c>
      <c r="F3">
        <f t="shared" ref="F3:F18" si="0">E3/C3</f>
        <v>0.51276359600443955</v>
      </c>
      <c r="G3" t="s">
        <v>18</v>
      </c>
    </row>
    <row r="4" spans="1:7" x14ac:dyDescent="0.3">
      <c r="A4">
        <v>2007</v>
      </c>
      <c r="B4">
        <v>890006661.4151001</v>
      </c>
      <c r="C4">
        <v>3852</v>
      </c>
      <c r="D4">
        <v>110</v>
      </c>
      <c r="E4">
        <v>2237</v>
      </c>
      <c r="F4">
        <f t="shared" si="0"/>
        <v>0.58073727933541019</v>
      </c>
      <c r="G4" t="s">
        <v>18</v>
      </c>
    </row>
    <row r="5" spans="1:7" x14ac:dyDescent="0.3">
      <c r="A5">
        <v>2008</v>
      </c>
      <c r="B5">
        <v>1038536548.614502</v>
      </c>
      <c r="C5">
        <v>4248</v>
      </c>
      <c r="D5">
        <v>122</v>
      </c>
      <c r="E5">
        <v>2727</v>
      </c>
      <c r="F5">
        <f t="shared" si="0"/>
        <v>0.64194915254237284</v>
      </c>
      <c r="G5" t="s">
        <v>18</v>
      </c>
    </row>
    <row r="6" spans="1:7" x14ac:dyDescent="0.3">
      <c r="A6">
        <v>2009</v>
      </c>
      <c r="B6">
        <v>1027461409.5687871</v>
      </c>
      <c r="C6">
        <v>4480</v>
      </c>
      <c r="D6">
        <v>134</v>
      </c>
      <c r="E6">
        <v>3016</v>
      </c>
      <c r="F6">
        <f t="shared" si="0"/>
        <v>0.67321428571428577</v>
      </c>
      <c r="G6" t="s">
        <v>18</v>
      </c>
    </row>
    <row r="7" spans="1:7" x14ac:dyDescent="0.3">
      <c r="A7">
        <v>2010</v>
      </c>
      <c r="B7">
        <v>1163693189.6209719</v>
      </c>
      <c r="C7">
        <v>4903</v>
      </c>
      <c r="D7">
        <v>192</v>
      </c>
      <c r="E7">
        <v>3794</v>
      </c>
      <c r="F7">
        <f t="shared" si="0"/>
        <v>0.77381195186620433</v>
      </c>
      <c r="G7" t="s">
        <v>18</v>
      </c>
    </row>
    <row r="8" spans="1:7" x14ac:dyDescent="0.3">
      <c r="A8">
        <v>2011</v>
      </c>
      <c r="B8">
        <v>1603610277.1759031</v>
      </c>
      <c r="C8">
        <v>6134</v>
      </c>
      <c r="D8">
        <v>308</v>
      </c>
      <c r="E8">
        <v>5181</v>
      </c>
      <c r="F8">
        <f t="shared" si="0"/>
        <v>0.84463645255950437</v>
      </c>
      <c r="G8" t="s">
        <v>18</v>
      </c>
    </row>
    <row r="9" spans="1:7" x14ac:dyDescent="0.3">
      <c r="A9">
        <v>2012</v>
      </c>
      <c r="B9">
        <v>1944423675.5371089</v>
      </c>
      <c r="C9">
        <v>7535</v>
      </c>
      <c r="D9">
        <v>433</v>
      </c>
      <c r="E9">
        <v>6437</v>
      </c>
      <c r="F9">
        <f t="shared" si="0"/>
        <v>0.85428002654280022</v>
      </c>
      <c r="G9" t="s">
        <v>18</v>
      </c>
    </row>
    <row r="10" spans="1:7" x14ac:dyDescent="0.3">
      <c r="A10">
        <v>2013</v>
      </c>
      <c r="B10">
        <v>2503393650.0549321</v>
      </c>
      <c r="C10">
        <v>9289</v>
      </c>
      <c r="D10">
        <v>668</v>
      </c>
      <c r="E10">
        <v>8076</v>
      </c>
      <c r="F10">
        <f t="shared" si="0"/>
        <v>0.86941543761438256</v>
      </c>
      <c r="G10" t="s">
        <v>18</v>
      </c>
    </row>
    <row r="11" spans="1:7" x14ac:dyDescent="0.3">
      <c r="A11">
        <v>2014</v>
      </c>
      <c r="B11">
        <v>3850693225.8605962</v>
      </c>
      <c r="C11">
        <v>11129</v>
      </c>
      <c r="D11">
        <v>864</v>
      </c>
      <c r="E11">
        <v>10185</v>
      </c>
      <c r="F11">
        <f t="shared" si="0"/>
        <v>0.91517656572917605</v>
      </c>
      <c r="G11" t="s">
        <v>18</v>
      </c>
    </row>
    <row r="12" spans="1:7" x14ac:dyDescent="0.3">
      <c r="A12">
        <v>2015</v>
      </c>
      <c r="B12">
        <v>4661241531.3720703</v>
      </c>
      <c r="C12">
        <v>13107</v>
      </c>
      <c r="D12">
        <v>1109</v>
      </c>
      <c r="E12">
        <v>12226</v>
      </c>
      <c r="F12">
        <f t="shared" si="0"/>
        <v>0.93278400854505228</v>
      </c>
      <c r="G12" t="s">
        <v>18</v>
      </c>
    </row>
    <row r="13" spans="1:7" x14ac:dyDescent="0.3">
      <c r="A13">
        <v>2016</v>
      </c>
      <c r="B13">
        <v>5275712966.9189453</v>
      </c>
      <c r="C13">
        <v>16112</v>
      </c>
      <c r="D13">
        <v>1422</v>
      </c>
      <c r="E13">
        <v>15059</v>
      </c>
      <c r="F13">
        <f t="shared" si="0"/>
        <v>0.93464498510427008</v>
      </c>
      <c r="G13" t="s">
        <v>18</v>
      </c>
    </row>
    <row r="14" spans="1:7" x14ac:dyDescent="0.3">
      <c r="A14">
        <v>2017</v>
      </c>
      <c r="B14">
        <v>7530173301.6967773</v>
      </c>
      <c r="C14">
        <v>20323</v>
      </c>
      <c r="D14">
        <v>1709</v>
      </c>
      <c r="E14">
        <v>17526</v>
      </c>
      <c r="F14">
        <f t="shared" si="0"/>
        <v>0.86237268119864197</v>
      </c>
      <c r="G14" t="s">
        <v>18</v>
      </c>
    </row>
    <row r="15" spans="1:7" x14ac:dyDescent="0.3">
      <c r="A15">
        <v>2018</v>
      </c>
      <c r="B15">
        <v>8436098098.7548828</v>
      </c>
      <c r="C15">
        <v>25428</v>
      </c>
      <c r="D15">
        <v>2639</v>
      </c>
      <c r="E15">
        <v>21382</v>
      </c>
      <c r="F15">
        <f t="shared" si="0"/>
        <v>0.8408840648104452</v>
      </c>
      <c r="G15" t="s">
        <v>18</v>
      </c>
    </row>
    <row r="16" spans="1:7" x14ac:dyDescent="0.3">
      <c r="A16">
        <v>2019</v>
      </c>
      <c r="B16">
        <v>8395582199.0966797</v>
      </c>
      <c r="C16">
        <v>30534</v>
      </c>
      <c r="D16">
        <v>3027</v>
      </c>
      <c r="E16">
        <v>24547</v>
      </c>
      <c r="F16">
        <f t="shared" si="0"/>
        <v>0.8039234951201939</v>
      </c>
      <c r="G16" t="s">
        <v>18</v>
      </c>
    </row>
    <row r="17" spans="1:7" x14ac:dyDescent="0.3">
      <c r="A17">
        <v>2020</v>
      </c>
      <c r="B17">
        <v>9031057357.7880859</v>
      </c>
      <c r="C17">
        <v>34458.588143200002</v>
      </c>
      <c r="D17">
        <v>3564</v>
      </c>
      <c r="E17">
        <v>26101</v>
      </c>
      <c r="F17">
        <f t="shared" si="0"/>
        <v>0.7574599368822581</v>
      </c>
      <c r="G17" t="s">
        <v>18</v>
      </c>
    </row>
    <row r="18" spans="1:7" x14ac:dyDescent="0.3">
      <c r="A18">
        <v>2021</v>
      </c>
      <c r="B18">
        <v>11029043197.63184</v>
      </c>
      <c r="C18">
        <v>42206.316474350002</v>
      </c>
      <c r="D18">
        <v>3928</v>
      </c>
      <c r="E18">
        <v>31004</v>
      </c>
      <c r="F18">
        <f t="shared" si="0"/>
        <v>0.73458199127237334</v>
      </c>
      <c r="G18" t="s">
        <v>18</v>
      </c>
    </row>
    <row r="19" spans="1:7" x14ac:dyDescent="0.3">
      <c r="A19">
        <v>2022</v>
      </c>
      <c r="B19">
        <v>11758157518.119999</v>
      </c>
      <c r="C19">
        <v>44249.741042499998</v>
      </c>
      <c r="D19">
        <v>4076</v>
      </c>
      <c r="E19">
        <v>34346</v>
      </c>
      <c r="F19">
        <f>E19/C19</f>
        <v>0.77618533331103845</v>
      </c>
      <c r="G19" t="s">
        <v>18</v>
      </c>
    </row>
    <row r="20" spans="1:7" x14ac:dyDescent="0.3">
      <c r="A20">
        <v>2023</v>
      </c>
      <c r="B20">
        <v>12517786235.849998</v>
      </c>
      <c r="C20">
        <v>46969.767645989996</v>
      </c>
      <c r="D20">
        <v>4227</v>
      </c>
      <c r="E20">
        <f>C20*F19</f>
        <v>36457.244755844775</v>
      </c>
      <c r="F20">
        <f>E20/C20</f>
        <v>0.77618533331103845</v>
      </c>
      <c r="G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Headline_figures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Hassan</dc:creator>
  <cp:lastModifiedBy>Youssef Zad</cp:lastModifiedBy>
  <dcterms:created xsi:type="dcterms:W3CDTF">2025-11-07T09:39:21Z</dcterms:created>
  <dcterms:modified xsi:type="dcterms:W3CDTF">2025-11-09T20:32:53Z</dcterms:modified>
</cp:coreProperties>
</file>